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28EE1DD-B112-45D3-98C4-31E2CDD582C6}" xr6:coauthVersionLast="47" xr6:coauthVersionMax="47" xr10:uidLastSave="{00000000-0000-0000-0000-000000000000}"/>
  <bookViews>
    <workbookView xWindow="-98" yWindow="-98" windowWidth="23236" windowHeight="13875" xr2:uid="{3EC2F896-EDFA-47B5-B2D4-FCC96FD9CEA6}"/>
  </bookViews>
  <sheets>
    <sheet name="Grid" sheetId="1" r:id="rId1"/>
    <sheet name="Transposed" sheetId="2" r:id="rId2"/>
    <sheet name="Paired" sheetId="3" r:id="rId3"/>
    <sheet name="Matri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0" i="3" l="1"/>
  <c r="L10" i="3"/>
  <c r="J10" i="3"/>
  <c r="M9" i="3"/>
  <c r="L9" i="3"/>
  <c r="J9" i="3"/>
  <c r="M8" i="3"/>
  <c r="L8" i="3"/>
  <c r="J8" i="3"/>
  <c r="M7" i="3"/>
  <c r="L7" i="3"/>
  <c r="J7" i="3"/>
  <c r="M6" i="3"/>
  <c r="L6" i="3"/>
  <c r="J6" i="3"/>
  <c r="M5" i="3"/>
  <c r="L5" i="3"/>
  <c r="J5" i="3"/>
  <c r="M4" i="3"/>
  <c r="L4" i="3"/>
  <c r="J4" i="3"/>
  <c r="F10" i="3"/>
  <c r="E10" i="3"/>
  <c r="C10" i="3"/>
  <c r="F9" i="3"/>
  <c r="E9" i="3"/>
  <c r="C9" i="3"/>
  <c r="F8" i="3"/>
  <c r="E8" i="3"/>
  <c r="C8" i="3"/>
  <c r="F7" i="3"/>
  <c r="E7" i="3"/>
  <c r="C7" i="3"/>
  <c r="F6" i="3"/>
  <c r="E6" i="3"/>
  <c r="C6" i="3"/>
  <c r="F5" i="3"/>
  <c r="E5" i="3"/>
  <c r="C5" i="3"/>
  <c r="F4" i="3"/>
  <c r="E4" i="3"/>
  <c r="C4" i="3"/>
  <c r="O18" i="1"/>
  <c r="O17" i="1"/>
  <c r="O16" i="1"/>
  <c r="O15" i="1"/>
  <c r="O14" i="1"/>
  <c r="O13" i="1"/>
  <c r="J18" i="1"/>
  <c r="J17" i="1"/>
  <c r="J16" i="1"/>
  <c r="J15" i="1"/>
  <c r="J14" i="1"/>
  <c r="J13" i="1"/>
  <c r="E18" i="1"/>
  <c r="E17" i="1"/>
  <c r="E16" i="1"/>
  <c r="E15" i="1"/>
  <c r="E14" i="1"/>
  <c r="E13" i="1"/>
  <c r="O9" i="1"/>
  <c r="O8" i="1"/>
  <c r="O7" i="1"/>
  <c r="O6" i="1"/>
  <c r="O5" i="1"/>
  <c r="O4" i="1"/>
  <c r="J9" i="1"/>
  <c r="J8" i="1"/>
  <c r="J7" i="1"/>
  <c r="J6" i="1"/>
  <c r="J5" i="1"/>
  <c r="J4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<sst xmlns="http://schemas.openxmlformats.org/spreadsheetml/2006/main" count="75" uniqueCount="30">
  <si>
    <t>oak</t>
  </si>
  <si>
    <t>plank 1</t>
  </si>
  <si>
    <t>position</t>
  </si>
  <si>
    <t>Width mm</t>
  </si>
  <si>
    <t>Depth mm</t>
  </si>
  <si>
    <t>area</t>
  </si>
  <si>
    <t>pine</t>
  </si>
  <si>
    <t xml:space="preserve">position </t>
  </si>
  <si>
    <t>birch</t>
  </si>
  <si>
    <t>plank 2</t>
  </si>
  <si>
    <t>Area</t>
  </si>
  <si>
    <t>layers</t>
  </si>
  <si>
    <t>duty</t>
  </si>
  <si>
    <t>input</t>
  </si>
  <si>
    <t>rise</t>
  </si>
  <si>
    <t>loss</t>
  </si>
  <si>
    <t>drift +0.4</t>
  </si>
  <si>
    <t>Tilt</t>
  </si>
  <si>
    <t>Fluid density (kg/m3)</t>
  </si>
  <si>
    <t>Probe</t>
  </si>
  <si>
    <t>h [mm]</t>
  </si>
  <si>
    <t>h - h0 [mm]</t>
  </si>
  <si>
    <t>dp [Pa]</t>
  </si>
  <si>
    <t>p [Pa]</t>
  </si>
  <si>
    <t>in</t>
  </si>
  <si>
    <t>out</t>
  </si>
  <si>
    <t>ref</t>
  </si>
  <si>
    <t>Rod temperature (°C)</t>
  </si>
  <si>
    <t>time (min)</t>
  </si>
  <si>
    <t>position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</si>
</sst>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5717-BC2D-4CEE-B1B5-4C61C7AB2171}">
  <dimension ref="B2:O18"/>
  <sheetViews>
    <sheetView tabSelected="1" workbookViewId="0"/>
  </sheetViews>
  <sheetFormatPr defaultRowHeight="14.25" x14ac:dyDescent="0.45"/>
  <sheetData>
    <row r="2" spans="2:15" x14ac:dyDescent="0.45">
      <c r="B2" t="s">
        <v>0</v>
      </c>
      <c r="C2" t="s">
        <v>1</v>
      </c>
      <c r="G2" t="s">
        <v>6</v>
      </c>
      <c r="H2" t="s">
        <v>1</v>
      </c>
      <c r="L2" t="s">
        <v>8</v>
      </c>
      <c r="M2" t="s">
        <v>1</v>
      </c>
    </row>
    <row r="3" spans="2:15" x14ac:dyDescent="0.45">
      <c r="B3" t="s">
        <v>2</v>
      </c>
      <c r="C3" t="s">
        <v>3</v>
      </c>
      <c r="D3" t="s">
        <v>4</v>
      </c>
      <c r="E3" t="s">
        <v>5</v>
      </c>
      <c r="G3" t="s">
        <v>7</v>
      </c>
      <c r="H3" t="s">
        <v>3</v>
      </c>
      <c r="I3" t="s">
        <v>4</v>
      </c>
      <c r="J3" t="s">
        <v>5</v>
      </c>
      <c r="L3" t="s">
        <v>2</v>
      </c>
      <c r="M3" t="s">
        <v>3</v>
      </c>
      <c r="N3" t="s">
        <v>4</v>
      </c>
      <c r="O3" t="s">
        <v>5</v>
      </c>
    </row>
    <row r="4" spans="2:15" x14ac:dyDescent="0.45">
      <c r="B4">
        <v>5</v>
      </c>
      <c r="C4">
        <v>48</v>
      </c>
      <c r="D4">
        <v>20</v>
      </c>
      <c r="E4">
        <f>ROUND(C4*D4,2)</f>
        <v>960</v>
      </c>
      <c r="G4">
        <v>5</v>
      </c>
      <c r="H4">
        <v>43.2</v>
      </c>
      <c r="I4">
        <v>18</v>
      </c>
      <c r="J4">
        <f>ROUND(H4*I4,2)</f>
        <v>777.6</v>
      </c>
      <c r="L4">
        <v>5</v>
      </c>
      <c r="M4">
        <v>38.4</v>
      </c>
      <c r="N4">
        <v>16</v>
      </c>
      <c r="O4">
        <f>ROUND(M4*N4,2)</f>
        <v>614.4</v>
      </c>
    </row>
    <row r="5" spans="2:15" x14ac:dyDescent="0.45">
      <c r="B5">
        <v>10</v>
      </c>
      <c r="C5">
        <v>46</v>
      </c>
      <c r="D5">
        <v>22</v>
      </c>
      <c r="E5">
        <f>ROUND(C5*D5,2)</f>
        <v>1012</v>
      </c>
      <c r="G5">
        <v>10</v>
      </c>
      <c r="H5">
        <v>41.4</v>
      </c>
      <c r="I5">
        <v>20</v>
      </c>
      <c r="J5">
        <f>ROUND(H5*I5,2)</f>
        <v>828</v>
      </c>
      <c r="L5">
        <v>10</v>
      </c>
      <c r="M5">
        <v>36.799999999999997</v>
      </c>
      <c r="N5">
        <v>18</v>
      </c>
      <c r="O5">
        <f>ROUND(M5*N5,2)</f>
        <v>662.4</v>
      </c>
    </row>
    <row r="6" spans="2:15" x14ac:dyDescent="0.45">
      <c r="B6">
        <v>15</v>
      </c>
      <c r="C6">
        <v>44</v>
      </c>
      <c r="D6">
        <v>24</v>
      </c>
      <c r="E6">
        <f>ROUND(C6*D6,2)</f>
        <v>1056</v>
      </c>
      <c r="G6">
        <v>15</v>
      </c>
      <c r="H6">
        <v>39.6</v>
      </c>
      <c r="I6">
        <v>22</v>
      </c>
      <c r="J6">
        <f>ROUND(H6*I6,2)</f>
        <v>871.2</v>
      </c>
      <c r="L6">
        <v>15</v>
      </c>
      <c r="M6">
        <v>35.200000000000003</v>
      </c>
      <c r="N6">
        <v>20</v>
      </c>
      <c r="O6">
        <f>ROUND(M6*N6,2)</f>
        <v>704</v>
      </c>
    </row>
    <row r="7" spans="2:15" x14ac:dyDescent="0.45">
      <c r="B7">
        <v>20</v>
      </c>
      <c r="C7">
        <v>42</v>
      </c>
      <c r="D7">
        <v>26</v>
      </c>
      <c r="E7">
        <f>ROUND(C7*D7,2)</f>
        <v>1092</v>
      </c>
      <c r="G7">
        <v>20</v>
      </c>
      <c r="H7">
        <v>37.799999999999997</v>
      </c>
      <c r="I7">
        <v>24</v>
      </c>
      <c r="J7">
        <f>ROUND(H7*I7,2)</f>
        <v>907.2</v>
      </c>
      <c r="L7">
        <v>20</v>
      </c>
      <c r="M7">
        <v>33.6</v>
      </c>
      <c r="N7">
        <v>22</v>
      </c>
      <c r="O7">
        <f>ROUND(M7*N7,2)</f>
        <v>739.2</v>
      </c>
    </row>
    <row r="8" spans="2:15" x14ac:dyDescent="0.45">
      <c r="B8">
        <v>25</v>
      </c>
      <c r="C8">
        <v>40</v>
      </c>
      <c r="D8">
        <v>28</v>
      </c>
      <c r="E8">
        <f>ROUND(C8*D8,2)</f>
        <v>1120</v>
      </c>
      <c r="G8">
        <v>25</v>
      </c>
      <c r="H8">
        <v>36</v>
      </c>
      <c r="I8">
        <v>26</v>
      </c>
      <c r="J8">
        <f>ROUND(H8*I8,2)</f>
        <v>936</v>
      </c>
      <c r="L8">
        <v>25</v>
      </c>
      <c r="M8">
        <v>32</v>
      </c>
      <c r="N8">
        <v>24</v>
      </c>
      <c r="O8">
        <f>ROUND(M8*N8,2)</f>
        <v>768</v>
      </c>
    </row>
    <row r="9" spans="2:15" x14ac:dyDescent="0.45">
      <c r="B9">
        <v>30</v>
      </c>
      <c r="C9">
        <v>38</v>
      </c>
      <c r="D9">
        <v>30</v>
      </c>
      <c r="E9">
        <f>ROUND(C9*D9,2)</f>
        <v>1140</v>
      </c>
      <c r="G9">
        <v>30</v>
      </c>
      <c r="H9">
        <v>34.200000000000003</v>
      </c>
      <c r="I9">
        <v>28</v>
      </c>
      <c r="J9">
        <f>ROUND(H9*I9,2)</f>
        <v>957.6</v>
      </c>
      <c r="L9">
        <v>30</v>
      </c>
      <c r="M9">
        <v>30.4</v>
      </c>
      <c r="N9">
        <v>26</v>
      </c>
      <c r="O9">
        <f>ROUND(M9*N9,2)</f>
        <v>790.4</v>
      </c>
    </row>
    <row r="11" spans="2:15" x14ac:dyDescent="0.45">
      <c r="B11" t="s">
        <v>0</v>
      </c>
      <c r="C11" t="s">
        <v>9</v>
      </c>
      <c r="G11" t="s">
        <v>6</v>
      </c>
      <c r="H11" t="s">
        <v>9</v>
      </c>
      <c r="L11" t="s">
        <v>8</v>
      </c>
      <c r="M11" t="s">
        <v>9</v>
      </c>
    </row>
    <row r="12" spans="2:15" x14ac:dyDescent="0.45">
      <c r="B12" t="s">
        <v>2</v>
      </c>
      <c r="C12" t="s">
        <v>3</v>
      </c>
      <c r="D12" t="s">
        <v>4</v>
      </c>
      <c r="E12" t="s">
        <v>5</v>
      </c>
      <c r="G12" t="s">
        <v>2</v>
      </c>
      <c r="H12" t="s">
        <v>3</v>
      </c>
      <c r="I12" t="s">
        <v>4</v>
      </c>
      <c r="J12" t="s">
        <v>5</v>
      </c>
      <c r="L12" t="s">
        <v>2</v>
      </c>
      <c r="M12" t="s">
        <v>3</v>
      </c>
      <c r="N12" t="s">
        <v>4</v>
      </c>
      <c r="O12" t="s">
        <v>10</v>
      </c>
    </row>
    <row r="13" spans="2:15" x14ac:dyDescent="0.45">
      <c r="B13">
        <v>5</v>
      </c>
      <c r="C13">
        <v>50</v>
      </c>
      <c r="D13">
        <v>23</v>
      </c>
      <c r="E13">
        <f>ROUND(C13*D13,2)</f>
        <v>1150</v>
      </c>
      <c r="G13">
        <v>5</v>
      </c>
      <c r="H13">
        <v>45.2</v>
      </c>
      <c r="I13">
        <v>21</v>
      </c>
      <c r="J13">
        <f>ROUND(H13*I13,2)</f>
        <v>949.2</v>
      </c>
      <c r="L13">
        <v>5</v>
      </c>
      <c r="M13">
        <v>40.4</v>
      </c>
      <c r="N13">
        <v>19</v>
      </c>
      <c r="O13">
        <f>ROUND(M13*N13,2)</f>
        <v>767.6</v>
      </c>
    </row>
    <row r="14" spans="2:15" x14ac:dyDescent="0.45">
      <c r="B14">
        <v>10</v>
      </c>
      <c r="C14">
        <v>48</v>
      </c>
      <c r="D14">
        <v>25</v>
      </c>
      <c r="E14">
        <f>ROUND(C14*D14,2)</f>
        <v>1200</v>
      </c>
      <c r="G14">
        <v>10</v>
      </c>
      <c r="H14">
        <v>43.4</v>
      </c>
      <c r="I14">
        <v>23</v>
      </c>
      <c r="J14">
        <f>ROUND(H14*I14,2)</f>
        <v>998.2</v>
      </c>
      <c r="L14">
        <v>10</v>
      </c>
      <c r="M14">
        <v>38.799999999999997</v>
      </c>
      <c r="N14">
        <v>21</v>
      </c>
      <c r="O14">
        <f>ROUND(M14*N14,2)</f>
        <v>814.8</v>
      </c>
    </row>
    <row r="15" spans="2:15" x14ac:dyDescent="0.45">
      <c r="B15">
        <v>15</v>
      </c>
      <c r="C15">
        <v>46</v>
      </c>
      <c r="D15">
        <v>27</v>
      </c>
      <c r="E15">
        <f>ROUND(C15*D15,2)</f>
        <v>1242</v>
      </c>
      <c r="G15">
        <v>15</v>
      </c>
      <c r="H15">
        <v>41.6</v>
      </c>
      <c r="I15">
        <v>25</v>
      </c>
      <c r="J15">
        <f>ROUND(H15*I15,2)</f>
        <v>1040</v>
      </c>
      <c r="L15">
        <v>15</v>
      </c>
      <c r="M15">
        <v>37.200000000000003</v>
      </c>
      <c r="N15">
        <v>23</v>
      </c>
      <c r="O15">
        <f>ROUND(M15*N15,2)</f>
        <v>855.6</v>
      </c>
    </row>
    <row r="16" spans="2:15" x14ac:dyDescent="0.45">
      <c r="B16">
        <v>20</v>
      </c>
      <c r="C16">
        <v>44</v>
      </c>
      <c r="D16">
        <v>29</v>
      </c>
      <c r="E16">
        <f>ROUND(C16*D16,2)</f>
        <v>1276</v>
      </c>
      <c r="G16">
        <v>20</v>
      </c>
      <c r="H16">
        <v>39.799999999999997</v>
      </c>
      <c r="I16">
        <v>27</v>
      </c>
      <c r="J16">
        <f>ROUND(H16*I16,2)</f>
        <v>1074.5999999999999</v>
      </c>
      <c r="L16">
        <v>20</v>
      </c>
      <c r="M16">
        <v>35.6</v>
      </c>
      <c r="N16">
        <v>25</v>
      </c>
      <c r="O16">
        <f>ROUND(M16*N16,2)</f>
        <v>890</v>
      </c>
    </row>
    <row r="17" spans="2:15" x14ac:dyDescent="0.45">
      <c r="B17">
        <v>25</v>
      </c>
      <c r="C17">
        <v>42</v>
      </c>
      <c r="D17">
        <v>31</v>
      </c>
      <c r="E17">
        <f>ROUND(C17*D17,2)</f>
        <v>1302</v>
      </c>
      <c r="G17">
        <v>25</v>
      </c>
      <c r="H17">
        <v>38</v>
      </c>
      <c r="I17">
        <v>29</v>
      </c>
      <c r="J17">
        <f>ROUND(H17*I17,2)</f>
        <v>1102</v>
      </c>
      <c r="L17">
        <v>25</v>
      </c>
      <c r="M17">
        <v>34</v>
      </c>
      <c r="N17">
        <v>27</v>
      </c>
      <c r="O17">
        <f>ROUND(M17*N17,2)</f>
        <v>918</v>
      </c>
    </row>
    <row r="18" spans="2:15" x14ac:dyDescent="0.45">
      <c r="B18">
        <v>30</v>
      </c>
      <c r="C18">
        <v>40</v>
      </c>
      <c r="D18">
        <v>33</v>
      </c>
      <c r="E18">
        <f>ROUND(C18*D18,2)</f>
        <v>1320</v>
      </c>
      <c r="G18">
        <v>30</v>
      </c>
      <c r="H18">
        <v>36.200000000000003</v>
      </c>
      <c r="I18">
        <v>31</v>
      </c>
      <c r="J18">
        <f>ROUND(H18*I18,2)</f>
        <v>1122.2</v>
      </c>
      <c r="L18">
        <v>30</v>
      </c>
      <c r="M18">
        <v>32.4</v>
      </c>
      <c r="N18">
        <v>29</v>
      </c>
      <c r="O18">
        <f>ROUND(M18*N18,2)</f>
        <v>939.6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A7B6-3425-4801-82D1-936C3E566E8B}">
  <dimension ref="B2:G18"/>
  <sheetViews>
    <sheetView workbookViewId="0"/>
  </sheetViews>
  <sheetFormatPr defaultRowHeight="14.25" x14ac:dyDescent="0.45"/>
  <sheetData>
    <row r="2" spans="2:7" x14ac:dyDescent="0.45">
      <c r="B2" t="s">
        <v>11</v>
      </c>
      <c r="C2">
        <v>0</v>
      </c>
    </row>
    <row r="3" spans="2:7" x14ac:dyDescent="0.45">
      <c r="B3" t="s">
        <v>12</v>
      </c>
      <c r="C3" s="1">
        <v>0.25</v>
      </c>
      <c r="D3" s="1">
        <v>0.5</v>
      </c>
      <c r="E3" s="1">
        <v>0.75</v>
      </c>
      <c r="F3" s="1">
        <v>1</v>
      </c>
    </row>
    <row r="4" spans="2:7" x14ac:dyDescent="0.45">
      <c r="B4" t="s">
        <v>13</v>
      </c>
      <c r="C4">
        <v>5</v>
      </c>
      <c r="D4">
        <v>10</v>
      </c>
      <c r="E4">
        <v>15</v>
      </c>
      <c r="F4">
        <v>20</v>
      </c>
    </row>
    <row r="5" spans="2:7" x14ac:dyDescent="0.45">
      <c r="B5" t="s">
        <v>14</v>
      </c>
      <c r="C5">
        <v>0.3</v>
      </c>
      <c r="D5">
        <v>0.75</v>
      </c>
      <c r="E5">
        <v>1.2</v>
      </c>
      <c r="F5">
        <v>1.65</v>
      </c>
    </row>
    <row r="6" spans="2:7" x14ac:dyDescent="0.45">
      <c r="B6" t="s">
        <v>15</v>
      </c>
      <c r="C6">
        <v>2.5</v>
      </c>
      <c r="D6">
        <v>14.5</v>
      </c>
      <c r="E6">
        <v>34.5</v>
      </c>
      <c r="F6">
        <v>62.5</v>
      </c>
      <c r="G6" t="s">
        <v>16</v>
      </c>
    </row>
    <row r="8" spans="2:7" x14ac:dyDescent="0.45">
      <c r="B8" t="s">
        <v>11</v>
      </c>
      <c r="C8">
        <v>2</v>
      </c>
    </row>
    <row r="9" spans="2:7" x14ac:dyDescent="0.45">
      <c r="B9" t="s">
        <v>12</v>
      </c>
      <c r="C9" s="1">
        <v>0.25</v>
      </c>
      <c r="D9" s="1">
        <v>0.5</v>
      </c>
      <c r="E9" s="1">
        <v>0.75</v>
      </c>
      <c r="F9" s="1">
        <v>1</v>
      </c>
    </row>
    <row r="10" spans="2:7" x14ac:dyDescent="0.45">
      <c r="B10" t="s">
        <v>13</v>
      </c>
      <c r="C10">
        <v>5</v>
      </c>
      <c r="D10">
        <v>10</v>
      </c>
      <c r="E10">
        <v>15</v>
      </c>
      <c r="F10">
        <v>20</v>
      </c>
    </row>
    <row r="11" spans="2:7" x14ac:dyDescent="0.45">
      <c r="B11" t="s">
        <v>14</v>
      </c>
      <c r="C11">
        <v>0.28000000000000003</v>
      </c>
      <c r="D11">
        <v>0.73</v>
      </c>
      <c r="E11">
        <v>1.18</v>
      </c>
      <c r="F11">
        <v>1.63</v>
      </c>
    </row>
    <row r="12" spans="2:7" x14ac:dyDescent="0.45">
      <c r="B12" t="s">
        <v>15</v>
      </c>
      <c r="C12">
        <v>1</v>
      </c>
      <c r="D12">
        <v>11.5</v>
      </c>
      <c r="E12">
        <v>29</v>
      </c>
      <c r="F12">
        <v>53.5</v>
      </c>
    </row>
    <row r="14" spans="2:7" x14ac:dyDescent="0.45">
      <c r="B14" t="s">
        <v>11</v>
      </c>
      <c r="C14">
        <v>4</v>
      </c>
    </row>
    <row r="15" spans="2:7" x14ac:dyDescent="0.45">
      <c r="B15" t="s">
        <v>12</v>
      </c>
      <c r="C15" s="1">
        <v>0.25</v>
      </c>
      <c r="D15" s="1">
        <v>0.5</v>
      </c>
      <c r="E15" s="1">
        <v>0.75</v>
      </c>
      <c r="F15" s="1">
        <v>1</v>
      </c>
    </row>
    <row r="16" spans="2:7" x14ac:dyDescent="0.45">
      <c r="B16" t="s">
        <v>13</v>
      </c>
      <c r="C16">
        <v>5</v>
      </c>
      <c r="D16">
        <v>10</v>
      </c>
      <c r="E16">
        <v>15</v>
      </c>
      <c r="F16">
        <v>20</v>
      </c>
    </row>
    <row r="17" spans="2:6" x14ac:dyDescent="0.45">
      <c r="B17" t="s">
        <v>14</v>
      </c>
      <c r="C17">
        <v>0.26</v>
      </c>
      <c r="D17">
        <v>0.71</v>
      </c>
      <c r="E17">
        <v>1.1599999999999999</v>
      </c>
      <c r="F17">
        <v>1.61</v>
      </c>
    </row>
    <row r="18" spans="2:6" x14ac:dyDescent="0.45">
      <c r="B18" t="s">
        <v>15</v>
      </c>
      <c r="C18">
        <v>-0.5</v>
      </c>
      <c r="D18">
        <v>8.5</v>
      </c>
      <c r="E18">
        <v>23.5</v>
      </c>
      <c r="F18">
        <v>44.5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D7CD-0F5C-47B3-AF54-918AD7BE6155}">
  <dimension ref="A1:M10"/>
  <sheetViews>
    <sheetView workbookViewId="0"/>
  </sheetViews>
  <sheetFormatPr defaultRowHeight="14.25" x14ac:dyDescent="0.45"/>
  <sheetData>
    <row r="1" spans="1:13" x14ac:dyDescent="0.45">
      <c r="A1" s="2" t="s">
        <v>17</v>
      </c>
      <c r="B1" s="2"/>
      <c r="C1" s="2"/>
      <c r="D1" s="2">
        <v>-5</v>
      </c>
      <c r="E1" s="2"/>
      <c r="F1" s="2"/>
      <c r="H1" s="2" t="s">
        <v>17</v>
      </c>
      <c r="I1" s="2"/>
      <c r="J1" s="2"/>
      <c r="K1" s="2">
        <v>0</v>
      </c>
      <c r="L1" s="2"/>
      <c r="M1" s="2"/>
    </row>
    <row r="2" spans="1:13" x14ac:dyDescent="0.45">
      <c r="A2" s="2" t="s">
        <v>18</v>
      </c>
      <c r="B2" s="2"/>
      <c r="C2" s="2"/>
      <c r="D2" s="2">
        <v>998.2</v>
      </c>
      <c r="E2" s="2"/>
      <c r="F2" s="2"/>
      <c r="H2" s="2" t="s">
        <v>18</v>
      </c>
      <c r="I2" s="2"/>
      <c r="J2" s="2"/>
      <c r="K2" s="2">
        <v>998.2</v>
      </c>
      <c r="L2" s="2"/>
      <c r="M2" s="2"/>
    </row>
    <row r="3" spans="1:13" x14ac:dyDescent="0.45">
      <c r="A3" t="s">
        <v>19</v>
      </c>
      <c r="B3" t="s">
        <v>20</v>
      </c>
      <c r="C3" s="2" t="s">
        <v>21</v>
      </c>
      <c r="D3" s="2"/>
      <c r="E3" t="s">
        <v>22</v>
      </c>
      <c r="F3" t="s">
        <v>23</v>
      </c>
      <c r="H3" t="s">
        <v>19</v>
      </c>
      <c r="I3" t="s">
        <v>20</v>
      </c>
      <c r="J3" s="2" t="s">
        <v>21</v>
      </c>
      <c r="K3" s="2"/>
      <c r="L3" t="s">
        <v>22</v>
      </c>
      <c r="M3" t="s">
        <v>23</v>
      </c>
    </row>
    <row r="4" spans="1:13" x14ac:dyDescent="0.45">
      <c r="A4" t="s">
        <v>24</v>
      </c>
      <c r="B4">
        <v>182</v>
      </c>
      <c r="C4" s="2">
        <f>B4-150</f>
        <v>32</v>
      </c>
      <c r="D4" s="2"/>
      <c r="E4">
        <f>ROUND(C4*9.79,1)</f>
        <v>313.3</v>
      </c>
      <c r="F4">
        <f>E4+101325</f>
        <v>101638.3</v>
      </c>
      <c r="H4" t="s">
        <v>24</v>
      </c>
      <c r="I4">
        <v>176</v>
      </c>
      <c r="J4" s="2">
        <f>I4-150</f>
        <v>26</v>
      </c>
      <c r="K4" s="2"/>
      <c r="L4">
        <f>ROUND(J4*9.79,1)</f>
        <v>254.5</v>
      </c>
      <c r="M4">
        <f>L4+101325</f>
        <v>101579.5</v>
      </c>
    </row>
    <row r="5" spans="1:13" x14ac:dyDescent="0.45">
      <c r="A5" t="s">
        <v>25</v>
      </c>
      <c r="B5">
        <v>171</v>
      </c>
      <c r="C5" s="2">
        <f>B5-150</f>
        <v>21</v>
      </c>
      <c r="D5" s="2"/>
      <c r="E5">
        <f>ROUND(C5*9.79,1)</f>
        <v>205.6</v>
      </c>
      <c r="F5">
        <f>E5+101325</f>
        <v>101530.6</v>
      </c>
      <c r="H5" t="s">
        <v>25</v>
      </c>
      <c r="I5">
        <v>168</v>
      </c>
      <c r="J5" s="2">
        <f>I5-150</f>
        <v>18</v>
      </c>
      <c r="K5" s="2"/>
      <c r="L5">
        <f>ROUND(J5*9.79,1)</f>
        <v>176.2</v>
      </c>
      <c r="M5">
        <f>L5+101325</f>
        <v>101501.2</v>
      </c>
    </row>
    <row r="6" spans="1:13" x14ac:dyDescent="0.45">
      <c r="A6">
        <v>1</v>
      </c>
      <c r="B6">
        <v>158</v>
      </c>
      <c r="C6" s="2">
        <f>B6-150</f>
        <v>8</v>
      </c>
      <c r="D6" s="2"/>
      <c r="E6">
        <f>ROUND(C6*9.79,1)</f>
        <v>78.3</v>
      </c>
      <c r="F6">
        <f>E6+101325</f>
        <v>101403.3</v>
      </c>
      <c r="H6">
        <v>1</v>
      </c>
      <c r="I6">
        <v>160</v>
      </c>
      <c r="J6" s="2">
        <f>I6-150</f>
        <v>10</v>
      </c>
      <c r="K6" s="2"/>
      <c r="L6">
        <f>ROUND(J6*9.79,1)</f>
        <v>97.9</v>
      </c>
      <c r="M6">
        <f>L6+101325</f>
        <v>101422.9</v>
      </c>
    </row>
    <row r="7" spans="1:13" x14ac:dyDescent="0.45">
      <c r="A7">
        <v>3</v>
      </c>
      <c r="B7">
        <v>146</v>
      </c>
      <c r="C7" s="2">
        <f>B7-150</f>
        <v>-4</v>
      </c>
      <c r="D7" s="2"/>
      <c r="E7">
        <f>ROUND(C7*9.79,1)</f>
        <v>-39.200000000000003</v>
      </c>
      <c r="F7">
        <f>E7+101325</f>
        <v>101285.8</v>
      </c>
      <c r="H7">
        <v>3</v>
      </c>
      <c r="I7">
        <v>152</v>
      </c>
      <c r="J7" s="2">
        <f>I7-150</f>
        <v>2</v>
      </c>
      <c r="K7" s="2"/>
      <c r="L7">
        <f>ROUND(J7*9.79,1)</f>
        <v>19.600000000000001</v>
      </c>
      <c r="M7">
        <f>L7+101325</f>
        <v>101344.6</v>
      </c>
    </row>
    <row r="8" spans="1:13" x14ac:dyDescent="0.45">
      <c r="A8">
        <v>5</v>
      </c>
      <c r="B8">
        <v>139</v>
      </c>
      <c r="C8" s="2">
        <f>B8-150</f>
        <v>-11</v>
      </c>
      <c r="D8" s="2"/>
      <c r="E8">
        <f>ROUND(C8*9.79,1)</f>
        <v>-107.7</v>
      </c>
      <c r="F8">
        <f>E8+101325</f>
        <v>101217.3</v>
      </c>
      <c r="H8">
        <v>5</v>
      </c>
      <c r="I8">
        <v>144</v>
      </c>
      <c r="J8" s="2">
        <f>I8-150</f>
        <v>-6</v>
      </c>
      <c r="K8" s="2"/>
      <c r="L8">
        <f>ROUND(J8*9.79,1)</f>
        <v>-58.7</v>
      </c>
      <c r="M8">
        <f>L8+101325</f>
        <v>101266.3</v>
      </c>
    </row>
    <row r="9" spans="1:13" x14ac:dyDescent="0.45">
      <c r="A9" t="s">
        <v>26</v>
      </c>
      <c r="B9">
        <v>150</v>
      </c>
      <c r="C9" s="2">
        <f>B9-150</f>
        <v>0</v>
      </c>
      <c r="D9" s="2"/>
      <c r="E9">
        <f>ROUND(C9*9.79,1)</f>
        <v>0</v>
      </c>
      <c r="F9">
        <f>E9+101325</f>
        <v>101325</v>
      </c>
      <c r="H9" t="s">
        <v>26</v>
      </c>
      <c r="I9">
        <v>150</v>
      </c>
      <c r="J9" s="2">
        <f>I9-150</f>
        <v>0</v>
      </c>
      <c r="K9" s="2"/>
      <c r="L9">
        <f>ROUND(J9*9.79,1)</f>
        <v>0</v>
      </c>
      <c r="M9">
        <f>L9+101325</f>
        <v>101325</v>
      </c>
    </row>
    <row r="10" spans="1:13" x14ac:dyDescent="0.45">
      <c r="A10">
        <v>2</v>
      </c>
      <c r="B10">
        <v>163</v>
      </c>
      <c r="C10" s="2">
        <f>B10-150</f>
        <v>13</v>
      </c>
      <c r="D10" s="2"/>
      <c r="E10">
        <f>ROUND(C10*9.79,1)</f>
        <v>127.3</v>
      </c>
      <c r="F10">
        <f>E10+101325</f>
        <v>101452.3</v>
      </c>
      <c r="H10">
        <v>2</v>
      </c>
      <c r="I10">
        <v>156</v>
      </c>
      <c r="J10" s="2">
        <f>I10-150</f>
        <v>6</v>
      </c>
      <c r="K10" s="2"/>
      <c r="L10">
        <f>ROUND(J10*9.79,1)</f>
        <v>58.7</v>
      </c>
      <c r="M10">
        <f>L10+101325</f>
        <v>101383.7</v>
      </c>
    </row>
  </sheetData>
  <mergeCells count="24">
    <mergeCell ref="J5:K5"/>
    <mergeCell ref="J6:K6"/>
    <mergeCell ref="J7:K7"/>
    <mergeCell ref="J8:K8"/>
    <mergeCell ref="J9:K9"/>
    <mergeCell ref="J10:K10"/>
    <mergeCell ref="H1:J1"/>
    <mergeCell ref="K1:M1"/>
    <mergeCell ref="H2:J2"/>
    <mergeCell ref="K2:M2"/>
    <mergeCell ref="J3:K3"/>
    <mergeCell ref="J4:K4"/>
    <mergeCell ref="C5:D5"/>
    <mergeCell ref="C6:D6"/>
    <mergeCell ref="C7:D7"/>
    <mergeCell ref="C8:D8"/>
    <mergeCell ref="C9:D9"/>
    <mergeCell ref="C10:D10"/>
    <mergeCell ref="A1:C1"/>
    <mergeCell ref="D1:F1"/>
    <mergeCell ref="A2:C2"/>
    <mergeCell ref="D2:F2"/>
    <mergeCell ref="C3:D3"/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3330-093F-4F4F-95C2-5033306A458F}">
  <dimension ref="B2:H9"/>
  <sheetViews>
    <sheetView workbookViewId="0"/>
  </sheetViews>
  <sheetFormatPr defaultRowHeight="14.25" x14ac:dyDescent="0.45"/>
  <sheetData>
    <row r="2" spans="2:8" x14ac:dyDescent="0.45">
      <c r="B2" t="s">
        <v>27</v>
      </c>
      <c r="D2" t="s">
        <v>28</v>
      </c>
    </row>
    <row r="3" spans="2:8" x14ac:dyDescent="0.45">
      <c r="B3" t="s">
        <v>29</v>
      </c>
      <c r="C3">
        <v>0</v>
      </c>
      <c r="D3">
        <v>1</v>
      </c>
      <c r="E3">
        <v>2</v>
      </c>
      <c r="F3">
        <v>3</v>
      </c>
      <c r="G3">
        <v>4</v>
      </c>
      <c r="H3">
        <v>5</v>
      </c>
    </row>
    <row r="4" spans="2:8" x14ac:dyDescent="0.45">
      <c r="B4">
        <v>5</v>
      </c>
      <c r="C4">
        <v>77</v>
      </c>
      <c r="D4">
        <v>70</v>
      </c>
      <c r="E4">
        <v>64</v>
      </c>
      <c r="F4">
        <v>57</v>
      </c>
      <c r="G4">
        <v>50</v>
      </c>
      <c r="H4">
        <v>43</v>
      </c>
    </row>
    <row r="5" spans="2:8" x14ac:dyDescent="0.45">
      <c r="B5">
        <v>10</v>
      </c>
      <c r="C5">
        <v>67</v>
      </c>
      <c r="D5">
        <v>61</v>
      </c>
      <c r="E5">
        <v>56</v>
      </c>
      <c r="F5">
        <v>50</v>
      </c>
      <c r="G5">
        <v>44</v>
      </c>
      <c r="H5">
        <v>39</v>
      </c>
    </row>
    <row r="6" spans="2:8" x14ac:dyDescent="0.45">
      <c r="B6">
        <v>15</v>
      </c>
      <c r="C6">
        <v>58</v>
      </c>
      <c r="D6">
        <v>54</v>
      </c>
      <c r="E6">
        <v>49</v>
      </c>
      <c r="F6">
        <v>45</v>
      </c>
      <c r="G6">
        <v>40</v>
      </c>
      <c r="H6">
        <v>35</v>
      </c>
    </row>
    <row r="7" spans="2:8" x14ac:dyDescent="0.45">
      <c r="B7">
        <v>20</v>
      </c>
      <c r="C7">
        <v>51</v>
      </c>
      <c r="D7">
        <v>48</v>
      </c>
      <c r="E7">
        <v>44</v>
      </c>
      <c r="F7">
        <v>40</v>
      </c>
      <c r="G7">
        <v>36</v>
      </c>
      <c r="H7">
        <v>33</v>
      </c>
    </row>
    <row r="8" spans="2:8" x14ac:dyDescent="0.45">
      <c r="B8">
        <v>25</v>
      </c>
      <c r="C8">
        <v>46</v>
      </c>
      <c r="D8">
        <v>43</v>
      </c>
      <c r="E8">
        <v>40</v>
      </c>
      <c r="F8">
        <v>36</v>
      </c>
      <c r="G8">
        <v>33</v>
      </c>
      <c r="H8">
        <v>30</v>
      </c>
    </row>
    <row r="9" spans="2:8" x14ac:dyDescent="0.45">
      <c r="B9">
        <v>30</v>
      </c>
      <c r="C9">
        <v>41</v>
      </c>
      <c r="D9">
        <v>39</v>
      </c>
      <c r="E9">
        <v>36</v>
      </c>
      <c r="F9">
        <v>33</v>
      </c>
      <c r="G9">
        <v>31</v>
      </c>
      <c r="H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</vt:lpstr>
      <vt:lpstr>Transposed</vt:lpstr>
      <vt:lpstr>Paired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2026-10-17T09:53:52Z</dcterms:created>
  <dcterms:modified xsi:type="dcterms:W3CDTF">2026-10-17T09:53:53Z</dcterms:modified>
</cp:coreProperties>
</file>